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 INS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4">
    <font>
      <name val="Calibri"/>
      <family val="2"/>
      <color theme="1"/>
      <sz val="11"/>
      <scheme val="minor"/>
    </font>
    <font>
      <b val="1"/>
      <color rgb="00C00000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CALCULADORA DE INSS 2026</t>
        </is>
      </c>
    </row>
    <row r="3">
      <c r="A3" t="inlineStr">
        <is>
          <t>Salário Bruto:</t>
        </is>
      </c>
      <c r="B3" s="2" t="n">
        <v>3500</v>
      </c>
    </row>
    <row r="5">
      <c r="A5" s="3" t="inlineStr">
        <is>
          <t>Faixa</t>
        </is>
      </c>
      <c r="B5" s="3" t="inlineStr">
        <is>
          <t>Alíquota</t>
        </is>
      </c>
      <c r="C5" s="3" t="inlineStr">
        <is>
          <t>Dedução (Fórmula)</t>
        </is>
      </c>
      <c r="D5" s="3" t="inlineStr">
        <is>
          <t>Valor do Desconto</t>
        </is>
      </c>
    </row>
    <row r="6">
      <c r="A6" s="4" t="inlineStr">
        <is>
          <t>Resultado do Cálculo</t>
        </is>
      </c>
      <c r="B6" s="4" t="inlineStr">
        <is>
          <t>Alíquota Efetiva</t>
        </is>
      </c>
      <c r="C6" s="4" t="inlineStr">
        <is>
          <t>Total a Descontar</t>
        </is>
      </c>
    </row>
    <row r="7">
      <c r="A7" s="5" t="n"/>
      <c r="B7" s="6">
        <f>C7/B3</f>
        <v/>
      </c>
      <c r="C7" s="7">
        <f>IF(B3 &gt; 8475.55, 988.09, IF(B3 &lt;= 1621, B3*0.075, IF(B3 &lt;= 2902.84, B3*0.09-24.32, IF(B3 &lt;= 4354.27, B3*0.12-111.40, B3*0.14-198.49))))</f>
        <v/>
      </c>
    </row>
    <row r="10">
      <c r="A10" s="8" t="inlineStr">
        <is>
          <t>Tabela de Referência INSS 2026</t>
        </is>
      </c>
    </row>
    <row r="11">
      <c r="A11" s="9" t="inlineStr">
        <is>
          <t>Faixa de Salário</t>
        </is>
      </c>
      <c r="B11" s="9" t="inlineStr">
        <is>
          <t>Alíquota</t>
        </is>
      </c>
      <c r="C11" s="9" t="inlineStr">
        <is>
          <t>Dedução</t>
        </is>
      </c>
    </row>
    <row r="12">
      <c r="A12" s="5" t="inlineStr">
        <is>
          <t>Até R$ 1.621,00</t>
        </is>
      </c>
      <c r="B12" s="5" t="inlineStr">
        <is>
          <t>7,50%</t>
        </is>
      </c>
      <c r="C12" s="5" t="inlineStr">
        <is>
          <t>R$ 0,00</t>
        </is>
      </c>
    </row>
    <row r="13">
      <c r="A13" s="5" t="inlineStr">
        <is>
          <t>De R$ 1.621,01 a R$ 2.902,84</t>
        </is>
      </c>
      <c r="B13" s="5" t="inlineStr">
        <is>
          <t>9,00%</t>
        </is>
      </c>
      <c r="C13" s="5" t="inlineStr">
        <is>
          <t>R$ 24,32</t>
        </is>
      </c>
    </row>
    <row r="14">
      <c r="A14" s="5" t="inlineStr">
        <is>
          <t>De R$ 2.902,85 a R$ 4.354,27</t>
        </is>
      </c>
      <c r="B14" s="5" t="inlineStr">
        <is>
          <t>12,00%</t>
        </is>
      </c>
      <c r="C14" s="5" t="inlineStr">
        <is>
          <t>R$ 111,40</t>
        </is>
      </c>
    </row>
    <row r="15">
      <c r="A15" s="5" t="inlineStr">
        <is>
          <t>De R$ 4.354,28 a R$ 8.475,55</t>
        </is>
      </c>
      <c r="B15" s="5" t="inlineStr">
        <is>
          <t>14,00%</t>
        </is>
      </c>
      <c r="C15" s="5" t="inlineStr">
        <is>
          <t>R$ 198,49</t>
        </is>
      </c>
    </row>
    <row r="16">
      <c r="A16" s="5" t="inlineStr">
        <is>
          <t>Acima de R$ 8.475,55 (Teto)</t>
        </is>
      </c>
      <c r="B16" s="5" t="inlineStr">
        <is>
          <t>Fixa</t>
        </is>
      </c>
      <c r="C16" s="5" t="inlineStr">
        <is>
          <t>Teto: R$ 988,09</t>
        </is>
      </c>
    </row>
    <row r="18">
      <c r="A18" s="8" t="inlineStr">
        <is>
          <t>Observações:</t>
        </is>
      </c>
    </row>
    <row r="19">
      <c r="A19" t="inlineStr">
        <is>
          <t>1. O cálculo é progressivo, incidindo apenas sobre a parcela do salário em cada faixa.</t>
        </is>
      </c>
    </row>
    <row r="20">
      <c r="A20" t="inlineStr">
        <is>
          <t>2. O teto máximo de desconto em 2026 é de R$ 988,09.</t>
        </is>
      </c>
    </row>
    <row r="21">
      <c r="A21" t="inlineStr">
        <is>
          <t>3. Valores atualizados conforme projeções e tabelas vigentes para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2026-07-29T14:04:34Z</dcterms:created>
  <dcterms:modified xmlns:dcterms="http://purl.org/dc/terms/" xmlns:xsi="http://www.w3.org/2001/XMLSchema-instance" xsi:type="dcterms:W3CDTF">2026-07-29T14:04:34Z</dcterms:modified>
</cp:coreProperties>
</file>