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8_{E8DDAE89-354A-47CD-89B3-F19D49F108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lculadora IRPF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9" i="1"/>
  <c r="B10" i="1" s="1"/>
  <c r="B13" i="1" s="1"/>
  <c r="B14" i="1" s="1"/>
</calcChain>
</file>

<file path=xl/sharedStrings.xml><?xml version="1.0" encoding="utf-8"?>
<sst xmlns="http://schemas.openxmlformats.org/spreadsheetml/2006/main" count="15" uniqueCount="15">
  <si>
    <t>CALCULADORA IRPF 2026 (INCLUINDO ADICIONAL 10%)</t>
  </si>
  <si>
    <t>Rendimentos Tributáveis (Salário/Pró-labore):</t>
  </si>
  <si>
    <t>Lucros e Dividendos Recebidos:</t>
  </si>
  <si>
    <t>Outras Deduções (Previdência, etc):</t>
  </si>
  <si>
    <t>DETALHAMENTO DO IMPOSTO</t>
  </si>
  <si>
    <t>Base de Cálculo IRPF (Tributáveis - Deduções):</t>
  </si>
  <si>
    <t>1. IRPF Progressivo (Sobre Tributáveis):</t>
  </si>
  <si>
    <t>2. Adicional de 10% (Excedente a R$ 50k):</t>
  </si>
  <si>
    <t>TOTAL DE IMPOSTO A PAGAR:</t>
  </si>
  <si>
    <t>RENDA LÍQUIDA MENSAL:</t>
  </si>
  <si>
    <t>Observações:</t>
  </si>
  <si>
    <t>1. Tabela IRPF 2026: Considera a isenção de R$ 5.000,00 (projeção).</t>
  </si>
  <si>
    <t>2. Adicional 10%: Aplicado sobre a renda total (tributável + dividendos) que exceder R$ 50.000,00.</t>
  </si>
  <si>
    <t>3. Regra de Dividendos: Baseada no PL 1087/25 que prevê taxação de altas rendas.</t>
  </si>
  <si>
    <t>Quantidade de dependentes (R$ 189,59 cada):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</si>
</sst>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4" x14ac:knownFonts="1">
    <font>
      <sz val="11"/>
      <color theme="1"/>
      <name val="Calibri"/>
      <family val="2"/>
      <scheme val="minor"/>
    </font>
    <font>
      <b/>
      <sz val="14"/>
      <color rgb="FF375623"/>
      <name val="Calibri"/>
    </font>
    <font>
      <b/>
      <sz val="11"/>
      <name val="Calibri"/>
    </font>
    <font>
      <b/>
      <sz val="11"/>
      <color rgb="FFC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164" fontId="3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4" sqref="B4"/>
    </sheetView>
  </sheetViews>
  <sheetFormatPr defaultRowHeight="14.5" x14ac:dyDescent="0.35"/>
  <cols>
    <col min="1" max="1" width="39.36328125" customWidth="1"/>
    <col min="2" max="3" width="20" customWidth="1"/>
  </cols>
  <sheetData>
    <row r="1" spans="1:2" ht="18.5" x14ac:dyDescent="0.45">
      <c r="A1" s="1" t="s">
        <v>0</v>
      </c>
    </row>
    <row r="3" spans="1:2" x14ac:dyDescent="0.35">
      <c r="A3" t="s">
        <v>1</v>
      </c>
      <c r="B3" s="2">
        <v>50000.01</v>
      </c>
    </row>
    <row r="4" spans="1:2" x14ac:dyDescent="0.35">
      <c r="A4" t="s">
        <v>2</v>
      </c>
      <c r="B4" s="2">
        <v>0</v>
      </c>
    </row>
    <row r="5" spans="1:2" x14ac:dyDescent="0.35">
      <c r="A5" t="s">
        <v>14</v>
      </c>
      <c r="B5" s="3">
        <v>2</v>
      </c>
    </row>
    <row r="6" spans="1:2" x14ac:dyDescent="0.35">
      <c r="A6" t="s">
        <v>3</v>
      </c>
      <c r="B6" s="3">
        <v>0</v>
      </c>
    </row>
    <row r="8" spans="1:2" x14ac:dyDescent="0.35">
      <c r="A8" s="4" t="s">
        <v>4</v>
      </c>
    </row>
    <row r="9" spans="1:2" x14ac:dyDescent="0.35">
      <c r="A9" s="5" t="s">
        <v>5</v>
      </c>
      <c r="B9" s="6">
        <f>MAX(0, B3 - (B5 * 189.59) - B6)</f>
        <v>49620.83</v>
      </c>
    </row>
    <row r="10" spans="1:2" x14ac:dyDescent="0.35">
      <c r="A10" s="5" t="s">
        <v>6</v>
      </c>
      <c r="B10" s="6">
        <f>IF(B9&lt;=5000, 0, IF(B9&lt;=6000, B9*0.075-375, IF(B9&lt;=7500, B9*0.15-825, IF(B9&lt;=9000, B9*0.225-1387.5, B9*0.275-1837.5))))</f>
        <v>11808.228250000002</v>
      </c>
    </row>
    <row r="11" spans="1:2" x14ac:dyDescent="0.35">
      <c r="A11" s="5" t="s">
        <v>7</v>
      </c>
      <c r="B11" s="7">
        <f>MAX(0, (B3 + B4 - 50000) * 0.1)</f>
        <v>1.0000000002037268E-3</v>
      </c>
    </row>
    <row r="12" spans="1:2" x14ac:dyDescent="0.35">
      <c r="A12" s="5"/>
      <c r="B12" s="5"/>
    </row>
    <row r="13" spans="1:2" x14ac:dyDescent="0.35">
      <c r="A13" s="5" t="s">
        <v>8</v>
      </c>
      <c r="B13" s="8">
        <f>B10 + B11</f>
        <v>11808.229250000002</v>
      </c>
    </row>
    <row r="14" spans="1:2" x14ac:dyDescent="0.35">
      <c r="A14" s="5" t="s">
        <v>9</v>
      </c>
      <c r="B14" s="8">
        <f>(B3 + B4) - B13</f>
        <v>38191.780749999998</v>
      </c>
    </row>
    <row r="17" spans="1:1" x14ac:dyDescent="0.35">
      <c r="A17" s="4" t="s">
        <v>10</v>
      </c>
    </row>
    <row r="18" spans="1:1" x14ac:dyDescent="0.35">
      <c r="A18" t="s">
        <v>11</v>
      </c>
    </row>
    <row r="19" spans="1:1" x14ac:dyDescent="0.35">
      <c r="A19" t="s">
        <v>12</v>
      </c>
    </row>
    <row r="20" spans="1:1" x14ac:dyDescent="0.35">
      <c r="A2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Calculadora IRPF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Thais Camilo</cp:lastModifiedBy>
  <dcterms:created xsi:type="dcterms:W3CDTF">2026-07-29T14:06:48Z</dcterms:created>
  <dcterms:modified xsi:type="dcterms:W3CDTF">2026-07-29T14:10:37Z</dcterms:modified>
</cp:coreProperties>
</file>