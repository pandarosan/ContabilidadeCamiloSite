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Thais Camilo\Downloads\"/>
    </mc:Choice>
  </mc:AlternateContent>
  <xr:revisionPtr revIDLastSave="0" documentId="8_{D5EF784E-DBCF-4726-BDCE-F5394830A5B6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Calculadora Simples Nacional" sheetId="1" r:id="rId1"/>
    <sheet name="Tabelas_Referencia" sheetId="2" r:id="rId2"/>
    <sheet name="Configuraco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11" i="1"/>
  <c r="D11" i="1" s="1"/>
  <c r="B10" i="1"/>
  <c r="D10" i="1" s="1"/>
  <c r="B9" i="1"/>
  <c r="D9" i="1" s="1"/>
  <c r="B8" i="1"/>
  <c r="D8" i="1" s="1"/>
  <c r="D7" i="1"/>
  <c r="C9" i="1" l="1"/>
  <c r="E9" i="1" s="1"/>
  <c r="F9" i="1" s="1"/>
  <c r="C7" i="1"/>
  <c r="E7" i="1" s="1"/>
  <c r="F7" i="1" s="1"/>
  <c r="C10" i="1"/>
  <c r="E10" i="1" s="1"/>
  <c r="F10" i="1" s="1"/>
  <c r="C8" i="1"/>
  <c r="E8" i="1" s="1"/>
  <c r="F8" i="1" s="1"/>
  <c r="C11" i="1"/>
  <c r="E11" i="1" s="1"/>
  <c r="F11" i="1" s="1"/>
</calcChain>
</file>

<file path=xl/sharedStrings.xml><?xml version="1.0" encoding="utf-8"?>
<sst xmlns="http://schemas.openxmlformats.org/spreadsheetml/2006/main" count="76" uniqueCount="48">
  <si>
    <t>CALCULADORA SIMPLES NACIONAL 2026</t>
  </si>
  <si>
    <t>RBT12 (Acumulado 12m):</t>
  </si>
  <si>
    <t>Faturamento Mensal:</t>
  </si>
  <si>
    <t>Anexo</t>
  </si>
  <si>
    <t>Faixa</t>
  </si>
  <si>
    <t>Aliq. Nominal</t>
  </si>
  <si>
    <t>Dedução</t>
  </si>
  <si>
    <t>Aliq. Efetiva</t>
  </si>
  <si>
    <t>Valor DAS</t>
  </si>
  <si>
    <t>Anexo I (Comércio)</t>
  </si>
  <si>
    <t>Anexo II (Indústria)</t>
  </si>
  <si>
    <t>Anexo III (Serviços)</t>
  </si>
  <si>
    <t>Anexo IV (Serviços)</t>
  </si>
  <si>
    <t>Anexo V (Serviços)</t>
  </si>
  <si>
    <t>Instruções:</t>
  </si>
  <si>
    <t>- Preencha as células em amarelo (RBT12 e Faturamento Mensal).</t>
  </si>
  <si>
    <t>- RBT12 é a soma do faturamento dos últimos 12 meses.</t>
  </si>
  <si>
    <t>- A Alíquota Efetiva é o que você realmente paga sobre o faturamento do mês.</t>
  </si>
  <si>
    <t>- O cálculo segue a Lei Complementar 155/2016.</t>
  </si>
  <si>
    <t>Limite</t>
  </si>
  <si>
    <t>AliqNom</t>
  </si>
  <si>
    <t>Ded</t>
  </si>
  <si>
    <t>I</t>
  </si>
  <si>
    <t>II</t>
  </si>
  <si>
    <t>III</t>
  </si>
  <si>
    <t>IV</t>
  </si>
  <si>
    <t>V</t>
  </si>
  <si>
    <t>Parametro</t>
  </si>
  <si>
    <t>Valor</t>
  </si>
  <si>
    <t>Legenda / Fonte Oficial</t>
  </si>
  <si>
    <t>TETO</t>
  </si>
  <si>
    <t>Limite máximo de faturamento anual do Simples Nacional (LC 123/2006, Art. 3º, II).</t>
  </si>
  <si>
    <t>SUBLIMITE</t>
  </si>
  <si>
    <t>Limite estadual/municipal para cobrança de ICMS e ISS dentro do DAS (LC 123/2006, Art. 13-A).</t>
  </si>
  <si>
    <t>REPARTICAO_ANEXO_I</t>
  </si>
  <si>
    <t>33.5</t>
  </si>
  <si>
    <t>Percentual destinado ao ICMS na 5ª Faixa do Anexo I (Comércio). Fonte: LC 155/2016, Anexo I.</t>
  </si>
  <si>
    <t xml:space="preserve">REPARTICAO_ANEXO_II	</t>
  </si>
  <si>
    <t>32.0</t>
  </si>
  <si>
    <t>Percentual destinado ao ICMS na 5ª Faixa do Anexo II (Indústria). Fonte: LC 155/2016, Anexo II.</t>
  </si>
  <si>
    <t>REPARTICAO_ANEXO_III</t>
  </si>
  <si>
    <t>Percentual destinado ao ISS na 5ª Faixa do Anexo III (Serviços). Fonte: LC 155/2016, Anexo III.</t>
  </si>
  <si>
    <t xml:space="preserve">REPARTICAO_ANEXO_IV	</t>
  </si>
  <si>
    <t>40.0</t>
  </si>
  <si>
    <t>Percentual destinado ao ISS na 5ª Faixa do Anexo IV (Serviços). Fonte: LC 155/2016, Anexo IV.</t>
  </si>
  <si>
    <t>REPARTICAO_ANEXO_V</t>
  </si>
  <si>
    <t>23.5</t>
  </si>
  <si>
    <t>Percentual destinado ao ISS na 5ª Faixa do Anexo V (Serviços). Fonte: LC 155/2016, Anexo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</si>
</sst>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4">
    <font>
      <sz val="11"/>
      <color theme="1"/>
      <name val="Calibri"/>
      <family val="2"/>
      <scheme val="minor"/>
    </font>
    <font>
      <b/>
      <sz val="14"/>
      <color rgb="FF2F5597"/>
      <name val="Calibri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2" borderId="0" xfId="0" applyNumberForma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0" fontId="0" fillId="0" borderId="1" xfId="0" applyNumberFormat="1" applyBorder="1"/>
    <xf numFmtId="164" fontId="0" fillId="0" borderId="1" xfId="0" applyNumberFormat="1" applyBorder="1"/>
    <xf numFmtId="164" fontId="3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activeCell="B10" sqref="B10"/>
    </sheetView>
  </sheetViews>
  <sheetFormatPr defaultRowHeight="14.45"/>
  <cols>
    <col min="1" max="1" width="25" customWidth="1"/>
    <col min="2" max="6" width="18" customWidth="1"/>
  </cols>
  <sheetData>
    <row r="1" spans="1:6" ht="18.600000000000001">
      <c r="A1" s="1" t="s">
        <v>0</v>
      </c>
    </row>
    <row r="3" spans="1:6">
      <c r="A3" t="s">
        <v>1</v>
      </c>
      <c r="B3" s="2">
        <v>240000</v>
      </c>
    </row>
    <row r="4" spans="1:6">
      <c r="A4" t="s">
        <v>2</v>
      </c>
      <c r="B4" s="2">
        <v>10000</v>
      </c>
    </row>
    <row r="6" spans="1:6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</row>
    <row r="7" spans="1:6">
      <c r="A7" s="4" t="s">
        <v>9</v>
      </c>
      <c r="B7" s="5">
        <f>IF($B$3&lt;=180000,1,IF($B$3&lt;=360000,2,IF($B$3&lt;=720000,3,IF($B$3&lt;=1800000,4,IF($B$3&lt;=3600000,5,6)))))</f>
        <v>2</v>
      </c>
      <c r="C7" s="6">
        <f>INDEX(Tabelas_Referencia!$D$2:$D$7, B7)</f>
        <v>7.2999999999999995E-2</v>
      </c>
      <c r="D7" s="7">
        <f>INDEX(Tabelas_Referencia!$E$2:$E$7, B7)</f>
        <v>5940</v>
      </c>
      <c r="E7" s="6">
        <f>IF($B$3&lt;=180000, C7, (($B$3 * C7) - D7) / $B$3)</f>
        <v>4.8250000000000001E-2</v>
      </c>
      <c r="F7" s="8">
        <f>B4 * E7</f>
        <v>482.5</v>
      </c>
    </row>
    <row r="8" spans="1:6">
      <c r="A8" s="4" t="s">
        <v>10</v>
      </c>
      <c r="B8" s="5">
        <f>IF($B$3&lt;=180000,1,IF($B$3&lt;=360000,2,IF($B$3&lt;=720000,3,IF($B$3&lt;=1800000,4,IF($B$3&lt;=3600000,5,6)))))</f>
        <v>2</v>
      </c>
      <c r="C8" s="6">
        <f>INDEX(Tabelas_Referencia!$D$8:$D$13, B8)</f>
        <v>7.8E-2</v>
      </c>
      <c r="D8" s="7">
        <f>INDEX(Tabelas_Referencia!$E$8:$E$13, B8)</f>
        <v>5940</v>
      </c>
      <c r="E8" s="6">
        <f>IF($B$3&lt;=180000, C8, (($B$3 * C8) - D8) / $B$3)</f>
        <v>5.3249999999999999E-2</v>
      </c>
      <c r="F8" s="8">
        <f>B4 * E8</f>
        <v>532.5</v>
      </c>
    </row>
    <row r="9" spans="1:6">
      <c r="A9" s="4" t="s">
        <v>11</v>
      </c>
      <c r="B9" s="5">
        <f>IF($B$3&lt;=180000,1,IF($B$3&lt;=360000,2,IF($B$3&lt;=720000,3,IF($B$3&lt;=1800000,4,IF($B$3&lt;=3600000,5,6)))))</f>
        <v>2</v>
      </c>
      <c r="C9" s="6">
        <f>INDEX(Tabelas_Referencia!$D$14:$D$19, B9)</f>
        <v>0.112</v>
      </c>
      <c r="D9" s="7">
        <f>INDEX(Tabelas_Referencia!$E$14:$E$19, B9)</f>
        <v>9360</v>
      </c>
      <c r="E9" s="6">
        <f>IF($B$3&lt;=180000, C9, (($B$3 * C9) - D9) / $B$3)</f>
        <v>7.2999999999999995E-2</v>
      </c>
      <c r="F9" s="8">
        <f>B4 * E9</f>
        <v>730</v>
      </c>
    </row>
    <row r="10" spans="1:6">
      <c r="A10" s="4" t="s">
        <v>12</v>
      </c>
      <c r="B10" s="5">
        <f>IF($B$3&lt;=180000,1,IF($B$3&lt;=360000,2,IF($B$3&lt;=720000,3,IF($B$3&lt;=1800000,4,IF($B$3&lt;=3600000,5,6)))))</f>
        <v>2</v>
      </c>
      <c r="C10" s="6">
        <f>INDEX(Tabelas_Referencia!$D$20:$D$25, B10)</f>
        <v>0.09</v>
      </c>
      <c r="D10" s="7">
        <f>INDEX(Tabelas_Referencia!$E$20:$E$25, B10)</f>
        <v>8100</v>
      </c>
      <c r="E10" s="6">
        <f>IF($B$3&lt;=180000, C10, (($B$3 * C10) - D10) / $B$3)</f>
        <v>5.6250000000000001E-2</v>
      </c>
      <c r="F10" s="8">
        <f>B4 * E10</f>
        <v>562.5</v>
      </c>
    </row>
    <row r="11" spans="1:6">
      <c r="A11" s="4" t="s">
        <v>13</v>
      </c>
      <c r="B11" s="5">
        <f>IF($B$3&lt;=180000,1,IF($B$3&lt;=360000,2,IF($B$3&lt;=720000,3,IF($B$3&lt;=1800000,4,IF($B$3&lt;=3600000,5,6)))))</f>
        <v>2</v>
      </c>
      <c r="C11" s="6">
        <f>INDEX(Tabelas_Referencia!$D$26:$D$31, B11)</f>
        <v>0.18</v>
      </c>
      <c r="D11" s="7">
        <f>INDEX(Tabelas_Referencia!$E$26:$E$31, B11)</f>
        <v>4500</v>
      </c>
      <c r="E11" s="6">
        <f>IF($B$3&lt;=180000, C11, (($B$3 * C11) - D11) / $B$3)</f>
        <v>0.16125</v>
      </c>
      <c r="F11" s="8">
        <f>B4 * E11</f>
        <v>1612.5</v>
      </c>
    </row>
    <row r="14" spans="1:6">
      <c r="A14" s="9" t="s">
        <v>14</v>
      </c>
    </row>
    <row r="15" spans="1:6">
      <c r="A15" t="s">
        <v>15</v>
      </c>
    </row>
    <row r="16" spans="1:6">
      <c r="A16" t="s">
        <v>16</v>
      </c>
    </row>
    <row r="17" spans="1:1">
      <c r="A17" t="s">
        <v>17</v>
      </c>
    </row>
    <row r="18" spans="1:1">
      <c r="A18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/>
  </sheetViews>
  <sheetFormatPr defaultRowHeight="14.45"/>
  <sheetData>
    <row r="1" spans="1:5">
      <c r="A1" t="s">
        <v>3</v>
      </c>
      <c r="B1" t="s">
        <v>4</v>
      </c>
      <c r="C1" t="s">
        <v>19</v>
      </c>
      <c r="D1" t="s">
        <v>20</v>
      </c>
      <c r="E1" t="s">
        <v>21</v>
      </c>
    </row>
    <row r="2" spans="1:5">
      <c r="A2" t="s">
        <v>22</v>
      </c>
      <c r="B2">
        <v>1</v>
      </c>
      <c r="C2">
        <v>180000</v>
      </c>
      <c r="D2">
        <v>0.04</v>
      </c>
      <c r="E2">
        <v>0</v>
      </c>
    </row>
    <row r="3" spans="1:5">
      <c r="A3" t="s">
        <v>22</v>
      </c>
      <c r="B3">
        <v>2</v>
      </c>
      <c r="C3">
        <v>360000</v>
      </c>
      <c r="D3">
        <v>7.2999999999999995E-2</v>
      </c>
      <c r="E3">
        <v>5940</v>
      </c>
    </row>
    <row r="4" spans="1:5">
      <c r="A4" t="s">
        <v>22</v>
      </c>
      <c r="B4">
        <v>3</v>
      </c>
      <c r="C4">
        <v>720000</v>
      </c>
      <c r="D4">
        <v>9.5000000000000001E-2</v>
      </c>
      <c r="E4">
        <v>13860</v>
      </c>
    </row>
    <row r="5" spans="1:5">
      <c r="A5" t="s">
        <v>22</v>
      </c>
      <c r="B5">
        <v>4</v>
      </c>
      <c r="C5">
        <v>1800000</v>
      </c>
      <c r="D5">
        <v>0.107</v>
      </c>
      <c r="E5">
        <v>22500</v>
      </c>
    </row>
    <row r="6" spans="1:5">
      <c r="A6" t="s">
        <v>22</v>
      </c>
      <c r="B6">
        <v>5</v>
      </c>
      <c r="C6">
        <v>3600000</v>
      </c>
      <c r="D6">
        <v>0.14299999999999999</v>
      </c>
      <c r="E6">
        <v>87300</v>
      </c>
    </row>
    <row r="7" spans="1:5">
      <c r="A7" t="s">
        <v>22</v>
      </c>
      <c r="B7">
        <v>6</v>
      </c>
      <c r="C7">
        <v>4800000</v>
      </c>
      <c r="D7">
        <v>0.19</v>
      </c>
      <c r="E7">
        <v>378000</v>
      </c>
    </row>
    <row r="8" spans="1:5">
      <c r="A8" t="s">
        <v>23</v>
      </c>
      <c r="B8">
        <v>1</v>
      </c>
      <c r="C8">
        <v>180000</v>
      </c>
      <c r="D8">
        <v>4.4999999999999998E-2</v>
      </c>
      <c r="E8">
        <v>0</v>
      </c>
    </row>
    <row r="9" spans="1:5">
      <c r="A9" t="s">
        <v>23</v>
      </c>
      <c r="B9">
        <v>2</v>
      </c>
      <c r="C9">
        <v>360000</v>
      </c>
      <c r="D9">
        <v>7.8E-2</v>
      </c>
      <c r="E9">
        <v>5940</v>
      </c>
    </row>
    <row r="10" spans="1:5">
      <c r="A10" t="s">
        <v>23</v>
      </c>
      <c r="B10">
        <v>3</v>
      </c>
      <c r="C10">
        <v>720000</v>
      </c>
      <c r="D10">
        <v>0.1</v>
      </c>
      <c r="E10">
        <v>13860</v>
      </c>
    </row>
    <row r="11" spans="1:5">
      <c r="A11" t="s">
        <v>23</v>
      </c>
      <c r="B11">
        <v>4</v>
      </c>
      <c r="C11">
        <v>1800000</v>
      </c>
      <c r="D11">
        <v>0.112</v>
      </c>
      <c r="E11">
        <v>22500</v>
      </c>
    </row>
    <row r="12" spans="1:5">
      <c r="A12" t="s">
        <v>23</v>
      </c>
      <c r="B12">
        <v>5</v>
      </c>
      <c r="C12">
        <v>3600000</v>
      </c>
      <c r="D12">
        <v>0.14699999999999999</v>
      </c>
      <c r="E12">
        <v>85500</v>
      </c>
    </row>
    <row r="13" spans="1:5">
      <c r="A13" t="s">
        <v>23</v>
      </c>
      <c r="B13">
        <v>6</v>
      </c>
      <c r="C13">
        <v>4800000</v>
      </c>
      <c r="D13">
        <v>0.3</v>
      </c>
      <c r="E13">
        <v>720000</v>
      </c>
    </row>
    <row r="14" spans="1:5">
      <c r="A14" t="s">
        <v>24</v>
      </c>
      <c r="B14">
        <v>1</v>
      </c>
      <c r="C14">
        <v>180000</v>
      </c>
      <c r="D14">
        <v>0.06</v>
      </c>
      <c r="E14">
        <v>0</v>
      </c>
    </row>
    <row r="15" spans="1:5">
      <c r="A15" t="s">
        <v>24</v>
      </c>
      <c r="B15">
        <v>2</v>
      </c>
      <c r="C15">
        <v>360000</v>
      </c>
      <c r="D15">
        <v>0.112</v>
      </c>
      <c r="E15">
        <v>9360</v>
      </c>
    </row>
    <row r="16" spans="1:5">
      <c r="A16" t="s">
        <v>24</v>
      </c>
      <c r="B16">
        <v>3</v>
      </c>
      <c r="C16">
        <v>720000</v>
      </c>
      <c r="D16">
        <v>0.13500000000000001</v>
      </c>
      <c r="E16">
        <v>17640</v>
      </c>
    </row>
    <row r="17" spans="1:5">
      <c r="A17" t="s">
        <v>24</v>
      </c>
      <c r="B17">
        <v>4</v>
      </c>
      <c r="C17">
        <v>1800000</v>
      </c>
      <c r="D17">
        <v>0.16</v>
      </c>
      <c r="E17">
        <v>35640</v>
      </c>
    </row>
    <row r="18" spans="1:5">
      <c r="A18" t="s">
        <v>24</v>
      </c>
      <c r="B18">
        <v>5</v>
      </c>
      <c r="C18">
        <v>3600000</v>
      </c>
      <c r="D18">
        <v>0.21</v>
      </c>
      <c r="E18">
        <v>125640</v>
      </c>
    </row>
    <row r="19" spans="1:5">
      <c r="A19" t="s">
        <v>24</v>
      </c>
      <c r="B19">
        <v>6</v>
      </c>
      <c r="C19">
        <v>4800000</v>
      </c>
      <c r="D19">
        <v>0.33</v>
      </c>
      <c r="E19">
        <v>648000</v>
      </c>
    </row>
    <row r="20" spans="1:5">
      <c r="A20" t="s">
        <v>25</v>
      </c>
      <c r="B20">
        <v>1</v>
      </c>
      <c r="C20">
        <v>180000</v>
      </c>
      <c r="D20">
        <v>4.4999999999999998E-2</v>
      </c>
      <c r="E20">
        <v>0</v>
      </c>
    </row>
    <row r="21" spans="1:5">
      <c r="A21" t="s">
        <v>25</v>
      </c>
      <c r="B21">
        <v>2</v>
      </c>
      <c r="C21">
        <v>360000</v>
      </c>
      <c r="D21">
        <v>0.09</v>
      </c>
      <c r="E21">
        <v>8100</v>
      </c>
    </row>
    <row r="22" spans="1:5">
      <c r="A22" t="s">
        <v>25</v>
      </c>
      <c r="B22">
        <v>3</v>
      </c>
      <c r="C22">
        <v>720000</v>
      </c>
      <c r="D22">
        <v>0.10199999999999999</v>
      </c>
      <c r="E22">
        <v>12420</v>
      </c>
    </row>
    <row r="23" spans="1:5">
      <c r="A23" t="s">
        <v>25</v>
      </c>
      <c r="B23">
        <v>4</v>
      </c>
      <c r="C23">
        <v>1800000</v>
      </c>
      <c r="D23">
        <v>0.14000000000000001</v>
      </c>
      <c r="E23">
        <v>39780</v>
      </c>
    </row>
    <row r="24" spans="1:5">
      <c r="A24" t="s">
        <v>25</v>
      </c>
      <c r="B24">
        <v>5</v>
      </c>
      <c r="C24">
        <v>3600000</v>
      </c>
      <c r="D24">
        <v>0.22</v>
      </c>
      <c r="E24">
        <v>183780</v>
      </c>
    </row>
    <row r="25" spans="1:5">
      <c r="A25" t="s">
        <v>25</v>
      </c>
      <c r="B25">
        <v>6</v>
      </c>
      <c r="C25">
        <v>4800000</v>
      </c>
      <c r="D25">
        <v>0.33</v>
      </c>
      <c r="E25">
        <v>828000</v>
      </c>
    </row>
    <row r="26" spans="1:5">
      <c r="A26" t="s">
        <v>26</v>
      </c>
      <c r="B26">
        <v>1</v>
      </c>
      <c r="C26">
        <v>180000</v>
      </c>
      <c r="D26">
        <v>0.155</v>
      </c>
      <c r="E26">
        <v>0</v>
      </c>
    </row>
    <row r="27" spans="1:5">
      <c r="A27" t="s">
        <v>26</v>
      </c>
      <c r="B27">
        <v>2</v>
      </c>
      <c r="C27">
        <v>360000</v>
      </c>
      <c r="D27">
        <v>0.18</v>
      </c>
      <c r="E27">
        <v>4500</v>
      </c>
    </row>
    <row r="28" spans="1:5">
      <c r="A28" t="s">
        <v>26</v>
      </c>
      <c r="B28">
        <v>3</v>
      </c>
      <c r="C28">
        <v>720000</v>
      </c>
      <c r="D28">
        <v>0.19500000000000001</v>
      </c>
      <c r="E28">
        <v>9900</v>
      </c>
    </row>
    <row r="29" spans="1:5">
      <c r="A29" t="s">
        <v>26</v>
      </c>
      <c r="B29">
        <v>4</v>
      </c>
      <c r="C29">
        <v>1800000</v>
      </c>
      <c r="D29">
        <v>0.20499999999999999</v>
      </c>
      <c r="E29">
        <v>17100</v>
      </c>
    </row>
    <row r="30" spans="1:5">
      <c r="A30" t="s">
        <v>26</v>
      </c>
      <c r="B30">
        <v>5</v>
      </c>
      <c r="C30">
        <v>3600000</v>
      </c>
      <c r="D30">
        <v>0.23</v>
      </c>
      <c r="E30">
        <v>62100</v>
      </c>
    </row>
    <row r="31" spans="1:5">
      <c r="A31" t="s">
        <v>26</v>
      </c>
      <c r="B31">
        <v>6</v>
      </c>
      <c r="C31">
        <v>4800000</v>
      </c>
      <c r="D31">
        <v>0.30499999999999999</v>
      </c>
      <c r="E31">
        <v>540000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EC54-20BE-441C-A4B2-14C7468A7EF3}">
  <dimension ref="A1:C8"/>
  <sheetViews>
    <sheetView tabSelected="1" workbookViewId="0">
      <selection activeCell="E7" sqref="E7"/>
    </sheetView>
  </sheetViews>
  <sheetFormatPr defaultRowHeight="15"/>
  <cols>
    <col min="1" max="1" width="27.42578125" bestFit="1" customWidth="1"/>
    <col min="3" max="3" width="86.42578125" bestFit="1" customWidth="1"/>
  </cols>
  <sheetData>
    <row r="1" spans="1:3">
      <c r="A1" t="s">
        <v>27</v>
      </c>
      <c r="B1" t="s">
        <v>28</v>
      </c>
      <c r="C1" t="s">
        <v>29</v>
      </c>
    </row>
    <row r="2" spans="1:3">
      <c r="A2" t="s">
        <v>30</v>
      </c>
      <c r="B2">
        <v>4800000</v>
      </c>
      <c r="C2" t="s">
        <v>31</v>
      </c>
    </row>
    <row r="3" spans="1:3">
      <c r="A3" t="s">
        <v>32</v>
      </c>
      <c r="B3">
        <v>3600000</v>
      </c>
      <c r="C3" t="s">
        <v>33</v>
      </c>
    </row>
    <row r="4" spans="1:3">
      <c r="A4" t="s">
        <v>34</v>
      </c>
      <c r="B4" t="s">
        <v>35</v>
      </c>
      <c r="C4" t="s">
        <v>36</v>
      </c>
    </row>
    <row r="5" spans="1:3">
      <c r="A5" t="s">
        <v>37</v>
      </c>
      <c r="B5" t="s">
        <v>38</v>
      </c>
      <c r="C5" t="s">
        <v>39</v>
      </c>
    </row>
    <row r="6" spans="1:3">
      <c r="A6" t="s">
        <v>40</v>
      </c>
      <c r="B6" t="s">
        <v>35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45</v>
      </c>
      <c r="B8" t="s">
        <v>46</v>
      </c>
      <c r="C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2026-07-29T14:01:18Z</dcterms:created>
  <dcterms:modified xsi:type="dcterms:W3CDTF">2026-08-03T04:04:59Z</dcterms:modified>
  <cp:category/>
  <cp:contentStatus/>
</cp:coreProperties>
</file>