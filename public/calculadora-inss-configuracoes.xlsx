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50A6AAA3-2314-4165-86AB-1B2EA63D685C}" xr6:coauthVersionLast="47" xr6:coauthVersionMax="47" xr10:uidLastSave="{00000000-0000-0000-0000-000000000000}"/>
  <bookViews>
    <workbookView xWindow="0" yWindow="0" windowWidth="0" windowHeight="0" firstSheet="2" activeTab="3" xr2:uid="{00000000-000D-0000-FFFF-FFFF00000000}"/>
  </bookViews>
  <sheets>
    <sheet name="Calculadora INSS 2026" sheetId="1" r:id="rId1"/>
    <sheet name="Parametros_Gerais" sheetId="2" r:id="rId2"/>
    <sheet name="Tabelas_Referencia" sheetId="3" r:id="rId3"/>
    <sheet name="Outras_Categori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</calcChain>
</file>

<file path=xl/sharedStrings.xml><?xml version="1.0" encoding="utf-8"?>
<sst xmlns="http://schemas.openxmlformats.org/spreadsheetml/2006/main" count="56" uniqueCount="53">
  <si>
    <t>CALCULADORA DE INSS 2026</t>
  </si>
  <si>
    <t>Salário Bruto:</t>
  </si>
  <si>
    <t>Faixa</t>
  </si>
  <si>
    <t>Alíquota</t>
  </si>
  <si>
    <t>Dedução (Fórmula)</t>
  </si>
  <si>
    <t>Valor do Desconto</t>
  </si>
  <si>
    <t>Resultado do Cálculo</t>
  </si>
  <si>
    <t>Alíquota Efetiva</t>
  </si>
  <si>
    <t>Total a Descontar</t>
  </si>
  <si>
    <t>Tabela de Referência INSS 2026</t>
  </si>
  <si>
    <t>Faixa de Salário</t>
  </si>
  <si>
    <t>Dedução</t>
  </si>
  <si>
    <t>Até R$ 1.621,00</t>
  </si>
  <si>
    <t>7,50%</t>
  </si>
  <si>
    <t>R$ 0,00</t>
  </si>
  <si>
    <t>De R$ 1.621,01 a R$ 2.902,84</t>
  </si>
  <si>
    <t>9,00%</t>
  </si>
  <si>
    <t>R$ 24,32</t>
  </si>
  <si>
    <t>De R$ 2.902,85 a R$ 4.354,27</t>
  </si>
  <si>
    <t>12,00%</t>
  </si>
  <si>
    <t>R$ 111,40</t>
  </si>
  <si>
    <t>De R$ 4.354,28 a R$ 8.475,55</t>
  </si>
  <si>
    <t>14,00%</t>
  </si>
  <si>
    <t>R$ 198,49</t>
  </si>
  <si>
    <t>Acima de R$ 8.475,55 (Teto)</t>
  </si>
  <si>
    <t>Fixa</t>
  </si>
  <si>
    <t>Teto: R$ 988,09</t>
  </si>
  <si>
    <t>Observações:</t>
  </si>
  <si>
    <t>1. O cálculo é progressivo, incidindo apenas sobre a parcela do salário em cada faixa.</t>
  </si>
  <si>
    <t>2. O teto máximo de desconto em 2026 é de R$ 988,09.</t>
  </si>
  <si>
    <t>3. Valores atualizados conforme projeções e tabelas vigentes para 2026.</t>
  </si>
  <si>
    <t>Parametro</t>
  </si>
  <si>
    <t>Valor</t>
  </si>
  <si>
    <t>Aqui ficam os valores globais do INSS no ano</t>
  </si>
  <si>
    <t>Salario_Minimo</t>
  </si>
  <si>
    <t>Teto_INSS</t>
  </si>
  <si>
    <t>Ano_Base</t>
  </si>
  <si>
    <t xml:space="preserve">Faixa </t>
  </si>
  <si>
    <t xml:space="preserve">Limite_Ate </t>
  </si>
  <si>
    <t xml:space="preserve">Aliquota </t>
  </si>
  <si>
    <t xml:space="preserve">Parcela_Deduzir </t>
  </si>
  <si>
    <t>(Foco: Trabalhador CLT)</t>
  </si>
  <si>
    <t>Responsável pelo cálculo em cascata (progressivo) do INSS.</t>
  </si>
  <si>
    <t>= &gt;B5</t>
  </si>
  <si>
    <r>
      <rPr>
        <b/>
        <sz val="11"/>
        <color rgb="FFC00000"/>
        <rFont val="Calibri"/>
        <scheme val="minor"/>
      </rPr>
      <t>= &gt;B5'</t>
    </r>
    <r>
      <rPr>
        <sz val="11"/>
        <color rgb="FFC00000"/>
        <rFont val="Calibri"/>
        <scheme val="minor"/>
      </rPr>
      <t xml:space="preserve"> - deixe este campo como está, pois são valores acimada faixa anterior</t>
    </r>
  </si>
  <si>
    <t xml:space="preserve">Categoria </t>
  </si>
  <si>
    <t xml:space="preserve">Base_Calculo </t>
  </si>
  <si>
    <t>Para Autônomos e MEI</t>
  </si>
  <si>
    <t>Autônomo (Plano Normal)</t>
  </si>
  <si>
    <t>Sobre Rendimento</t>
  </si>
  <si>
    <t>Autônomo (Simplificado)</t>
  </si>
  <si>
    <t>Sobre Salário Mínimo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</si>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</sst>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8">
    <font>
      <sz val="11"/>
      <color theme="1"/>
      <name val="Calibri"/>
      <family val="2"/>
      <scheme val="minor"/>
    </font>
    <font>
      <b/>
      <sz val="14"/>
      <color rgb="FFC0000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charset val="1"/>
    </font>
    <font>
      <b/>
      <sz val="11"/>
      <color rgb="FFC00000"/>
      <name val="Calibri"/>
      <family val="2"/>
      <scheme val="minor"/>
    </font>
    <font>
      <sz val="11"/>
      <color rgb="FFC00000"/>
      <name val="Calibri"/>
      <scheme val="minor"/>
    </font>
    <font>
      <b/>
      <sz val="11"/>
      <color rgb="FFC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164" fontId="3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readingOrder="1"/>
    </xf>
    <xf numFmtId="0" fontId="4" fillId="0" borderId="3" xfId="0" applyFont="1" applyBorder="1" applyAlignment="1">
      <alignment readingOrder="1"/>
    </xf>
    <xf numFmtId="0" fontId="5" fillId="4" borderId="0" xfId="0" quotePrefix="1" applyFont="1" applyFill="1"/>
    <xf numFmtId="0" fontId="6" fillId="4" borderId="0" xfId="0" quotePrefix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A6" workbookViewId="0">
      <selection activeCell="A20" sqref="A20"/>
    </sheetView>
  </sheetViews>
  <sheetFormatPr defaultRowHeight="15"/>
  <cols>
    <col min="1" max="1" width="30" customWidth="1"/>
    <col min="2" max="4" width="20" customWidth="1"/>
  </cols>
  <sheetData>
    <row r="1" spans="1:4">
      <c r="A1" s="1" t="s">
        <v>0</v>
      </c>
    </row>
    <row r="3" spans="1:4">
      <c r="A3" t="s">
        <v>1</v>
      </c>
      <c r="B3" s="2">
        <v>2000</v>
      </c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s="4" t="s">
        <v>6</v>
      </c>
      <c r="B6" s="4" t="s">
        <v>7</v>
      </c>
      <c r="C6" s="4" t="s">
        <v>8</v>
      </c>
    </row>
    <row r="7" spans="1:4">
      <c r="A7" s="5"/>
      <c r="B7" s="6">
        <f>C7/B3</f>
        <v>7.7840000000000006E-2</v>
      </c>
      <c r="C7" s="7">
        <f>IF(B3 &gt; 8475.55, 988.09, IF(B3 &lt;= 1621, B3*0.075, IF(B3 &lt;= 2902.84, B3*0.09-24.32, IF(B3 &lt;= 4354.27, B3*0.12-111.4, B3*0.14-198.49))))</f>
        <v>155.68</v>
      </c>
    </row>
    <row r="10" spans="1:4">
      <c r="A10" s="8" t="s">
        <v>9</v>
      </c>
    </row>
    <row r="11" spans="1:4">
      <c r="A11" s="9" t="s">
        <v>10</v>
      </c>
      <c r="B11" s="9" t="s">
        <v>3</v>
      </c>
      <c r="C11" s="9" t="s">
        <v>11</v>
      </c>
    </row>
    <row r="12" spans="1:4">
      <c r="A12" s="5" t="s">
        <v>12</v>
      </c>
      <c r="B12" s="5" t="s">
        <v>13</v>
      </c>
      <c r="C12" s="5" t="s">
        <v>14</v>
      </c>
    </row>
    <row r="13" spans="1:4">
      <c r="A13" s="5" t="s">
        <v>15</v>
      </c>
      <c r="B13" s="5" t="s">
        <v>16</v>
      </c>
      <c r="C13" s="5" t="s">
        <v>17</v>
      </c>
    </row>
    <row r="14" spans="1:4">
      <c r="A14" s="5" t="s">
        <v>18</v>
      </c>
      <c r="B14" s="5" t="s">
        <v>19</v>
      </c>
      <c r="C14" s="5" t="s">
        <v>20</v>
      </c>
    </row>
    <row r="15" spans="1:4">
      <c r="A15" s="5" t="s">
        <v>21</v>
      </c>
      <c r="B15" s="5" t="s">
        <v>22</v>
      </c>
      <c r="C15" s="5" t="s">
        <v>23</v>
      </c>
    </row>
    <row r="16" spans="1:4">
      <c r="A16" s="5" t="s">
        <v>24</v>
      </c>
      <c r="B16" s="5" t="s">
        <v>25</v>
      </c>
      <c r="C16" s="5" t="s">
        <v>26</v>
      </c>
    </row>
    <row r="18" spans="1:1">
      <c r="A18" s="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CDFB-13CB-4BF8-A561-646AA0E0FCDA}">
  <dimension ref="A1:D4"/>
  <sheetViews>
    <sheetView workbookViewId="0">
      <selection activeCell="L1" sqref="L1"/>
    </sheetView>
  </sheetViews>
  <sheetFormatPr defaultRowHeight="15"/>
  <cols>
    <col min="1" max="1" width="15" bestFit="1" customWidth="1"/>
    <col min="2" max="2" width="8.140625" bestFit="1" customWidth="1"/>
  </cols>
  <sheetData>
    <row r="1" spans="1:4">
      <c r="A1" s="10" t="s">
        <v>31</v>
      </c>
      <c r="B1" s="11" t="s">
        <v>32</v>
      </c>
      <c r="D1" t="s">
        <v>33</v>
      </c>
    </row>
    <row r="2" spans="1:4">
      <c r="A2" t="s">
        <v>34</v>
      </c>
      <c r="B2">
        <v>1412</v>
      </c>
    </row>
    <row r="3" spans="1:4">
      <c r="A3" t="s">
        <v>35</v>
      </c>
      <c r="B3">
        <v>7786.02</v>
      </c>
    </row>
    <row r="4" spans="1:4">
      <c r="A4" t="s">
        <v>36</v>
      </c>
      <c r="B4"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F475-DB04-4222-A3C2-55B6A57CF3D9}">
  <dimension ref="A1:F6"/>
  <sheetViews>
    <sheetView workbookViewId="0">
      <selection activeCell="F14" sqref="F14"/>
    </sheetView>
  </sheetViews>
  <sheetFormatPr defaultRowHeight="15"/>
  <cols>
    <col min="1" max="1" width="6.140625" bestFit="1" customWidth="1"/>
    <col min="2" max="2" width="11.140625" bestFit="1" customWidth="1"/>
    <col min="3" max="3" width="9" bestFit="1" customWidth="1"/>
    <col min="4" max="4" width="16" bestFit="1" customWidth="1"/>
    <col min="6" max="6" width="69.28515625" bestFit="1" customWidth="1"/>
  </cols>
  <sheetData>
    <row r="1" spans="1:6">
      <c r="A1" t="s">
        <v>37</v>
      </c>
      <c r="B1" t="s">
        <v>38</v>
      </c>
      <c r="C1" t="s">
        <v>39</v>
      </c>
      <c r="D1" t="s">
        <v>40</v>
      </c>
      <c r="F1" t="s">
        <v>41</v>
      </c>
    </row>
    <row r="2" spans="1:6">
      <c r="A2">
        <v>1</v>
      </c>
      <c r="B2">
        <v>1621</v>
      </c>
      <c r="C2">
        <v>7.5</v>
      </c>
      <c r="D2">
        <v>0</v>
      </c>
      <c r="F2" t="s">
        <v>42</v>
      </c>
    </row>
    <row r="3" spans="1:6">
      <c r="A3">
        <v>2</v>
      </c>
      <c r="B3">
        <v>2902.84</v>
      </c>
      <c r="C3">
        <v>9</v>
      </c>
      <c r="D3">
        <v>24.32</v>
      </c>
    </row>
    <row r="4" spans="1:6">
      <c r="A4">
        <v>3</v>
      </c>
      <c r="B4">
        <v>4354.2700000000004</v>
      </c>
      <c r="C4">
        <v>12</v>
      </c>
      <c r="D4">
        <v>111.4</v>
      </c>
    </row>
    <row r="5" spans="1:6">
      <c r="A5">
        <v>4</v>
      </c>
      <c r="B5">
        <v>8475.5499999999993</v>
      </c>
      <c r="C5">
        <v>14</v>
      </c>
      <c r="D5">
        <v>198.49</v>
      </c>
    </row>
    <row r="6" spans="1:6">
      <c r="A6">
        <v>5</v>
      </c>
      <c r="B6" s="12" t="s">
        <v>43</v>
      </c>
      <c r="D6">
        <v>988.09</v>
      </c>
      <c r="F6" s="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A465-3B87-486D-B430-97C74818EC22}">
  <dimension ref="A1:E4"/>
  <sheetViews>
    <sheetView tabSelected="1" workbookViewId="0">
      <selection activeCell="C5" sqref="C5"/>
    </sheetView>
  </sheetViews>
  <sheetFormatPr defaultRowHeight="15"/>
  <cols>
    <col min="1" max="1" width="24.5703125" bestFit="1" customWidth="1"/>
    <col min="3" max="3" width="20.140625" bestFit="1" customWidth="1"/>
    <col min="5" max="5" width="21.28515625" bestFit="1" customWidth="1"/>
  </cols>
  <sheetData>
    <row r="1" spans="1:5">
      <c r="A1" t="s">
        <v>45</v>
      </c>
      <c r="B1" t="s">
        <v>39</v>
      </c>
      <c r="C1" t="s">
        <v>46</v>
      </c>
      <c r="E1" t="s">
        <v>47</v>
      </c>
    </row>
    <row r="2" spans="1:5">
      <c r="A2" t="s">
        <v>48</v>
      </c>
      <c r="B2">
        <v>20</v>
      </c>
      <c r="C2" t="s">
        <v>49</v>
      </c>
    </row>
    <row r="3" spans="1:5">
      <c r="A3" t="s">
        <v>50</v>
      </c>
      <c r="B3">
        <v>11</v>
      </c>
      <c r="C3" t="s">
        <v>51</v>
      </c>
    </row>
    <row r="4" spans="1:5">
      <c r="A4" t="s">
        <v>52</v>
      </c>
      <c r="B4">
        <v>5</v>
      </c>
      <c r="C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2026-07-29T14:04:34Z</dcterms:created>
  <dcterms:modified xsi:type="dcterms:W3CDTF">2026-08-14T18:37:23Z</dcterms:modified>
  <cp:category/>
  <cp:contentStatus/>
</cp:coreProperties>
</file>