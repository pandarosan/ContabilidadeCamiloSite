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xr:revisionPtr revIDLastSave="0" documentId="8_{A8FEA068-4952-4D23-8591-8100CA8ACE76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Calculadora INSS 2026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B7" i="1"/>
</calcChain>
</file>

<file path=xl/sharedStrings.xml><?xml version="1.0" encoding="utf-8"?>
<sst xmlns="http://schemas.openxmlformats.org/spreadsheetml/2006/main" count="32" uniqueCount="31">
  <si>
    <t>CALCULADORA DE INSS 2026</t>
  </si>
  <si>
    <t>Salário Bruto:</t>
  </si>
  <si>
    <t>Faixa</t>
  </si>
  <si>
    <t>Alíquota</t>
  </si>
  <si>
    <t>Dedução (Fórmula)</t>
  </si>
  <si>
    <t>Valor do Desconto</t>
  </si>
  <si>
    <t>Resultado do Cálculo</t>
  </si>
  <si>
    <t>Alíquota Efetiva</t>
  </si>
  <si>
    <t>Total a Descontar</t>
  </si>
  <si>
    <t>Tabela de Referência INSS 2026</t>
  </si>
  <si>
    <t>Faixa de Salário</t>
  </si>
  <si>
    <t>Dedução</t>
  </si>
  <si>
    <t>Até R$ 1.621,00</t>
  </si>
  <si>
    <t>7,50%</t>
  </si>
  <si>
    <t>R$ 0,00</t>
  </si>
  <si>
    <t>De R$ 1.621,01 a R$ 2.902,84</t>
  </si>
  <si>
    <t>9,00%</t>
  </si>
  <si>
    <t>R$ 24,32</t>
  </si>
  <si>
    <t>De R$ 2.902,85 a R$ 4.354,27</t>
  </si>
  <si>
    <t>12,00%</t>
  </si>
  <si>
    <t>R$ 111,40</t>
  </si>
  <si>
    <t>De R$ 4.354,28 a R$ 8.475,55</t>
  </si>
  <si>
    <t>14,00%</t>
  </si>
  <si>
    <t>R$ 198,49</t>
  </si>
  <si>
    <t>Acima de R$ 8.475,55 (Teto)</t>
  </si>
  <si>
    <t>Fixa</t>
  </si>
  <si>
    <t>Teto: R$ 988,09</t>
  </si>
  <si>
    <t>Observações:</t>
  </si>
  <si>
    <t>1. O cálculo é progressivo, incidindo apenas sobre a parcela do salário em cada faixa.</t>
  </si>
  <si>
    <t>2. O teto máximo de desconto em 2026 é de R$ 988,09.</t>
  </si>
  <si>
    <t>3. Valores atualizados conforme projeções e tabelas vigentes para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</si>
</sst>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4">
    <font>
      <sz val="11"/>
      <color theme="1"/>
      <name val="Calibri"/>
      <family val="2"/>
      <scheme val="minor"/>
    </font>
    <font>
      <b/>
      <sz val="14"/>
      <color rgb="FFC00000"/>
      <name val="Calibri"/>
    </font>
    <font>
      <b/>
      <sz val="11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C00000"/>
        <bgColor rgb="FFC00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0" fillId="2" borderId="0" xfId="0" applyNumberFormat="1" applyFill="1"/>
    <xf numFmtId="0" fontId="2" fillId="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/>
    <xf numFmtId="10" fontId="0" fillId="0" borderId="1" xfId="0" applyNumberFormat="1" applyBorder="1"/>
    <xf numFmtId="164" fontId="3" fillId="0" borderId="1" xfId="0" applyNumberFormat="1" applyFont="1" applyBorder="1"/>
    <xf numFmtId="0" fontId="3" fillId="0" borderId="0" xfId="0" applyFont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1"/>
  <sheetViews>
    <sheetView tabSelected="1" workbookViewId="0">
      <selection activeCell="F7" sqref="F7"/>
    </sheetView>
  </sheetViews>
  <sheetFormatPr defaultRowHeight="15"/>
  <cols>
    <col min="1" max="1" width="30" customWidth="1"/>
    <col min="2" max="4" width="20" customWidth="1"/>
  </cols>
  <sheetData>
    <row r="1" spans="1:4">
      <c r="A1" s="1" t="s">
        <v>0</v>
      </c>
    </row>
    <row r="3" spans="1:4">
      <c r="A3" t="s">
        <v>1</v>
      </c>
      <c r="B3" s="2">
        <v>3500</v>
      </c>
    </row>
    <row r="5" spans="1:4">
      <c r="A5" s="3" t="s">
        <v>2</v>
      </c>
      <c r="B5" s="3" t="s">
        <v>3</v>
      </c>
      <c r="C5" s="3" t="s">
        <v>4</v>
      </c>
      <c r="D5" s="3" t="s">
        <v>5</v>
      </c>
    </row>
    <row r="6" spans="1:4">
      <c r="A6" s="4" t="s">
        <v>6</v>
      </c>
      <c r="B6" s="4" t="s">
        <v>7</v>
      </c>
      <c r="C6" s="4" t="s">
        <v>8</v>
      </c>
    </row>
    <row r="7" spans="1:4">
      <c r="A7" s="5"/>
      <c r="B7" s="6">
        <f>C7/B3</f>
        <v>8.8171428571428581E-2</v>
      </c>
      <c r="C7" s="7">
        <f>IF(B3 &gt; 8475.55, 988.09, IF(B3 &lt;= 1621, B3*0.075, IF(B3 &lt;= 2902.84, B3*0.09-24.32, IF(B3 &lt;= 4354.27, B3*0.12-111.4, B3*0.14-198.49))))</f>
        <v>308.60000000000002</v>
      </c>
    </row>
    <row r="10" spans="1:4">
      <c r="A10" s="8" t="s">
        <v>9</v>
      </c>
    </row>
    <row r="11" spans="1:4">
      <c r="A11" s="9" t="s">
        <v>10</v>
      </c>
      <c r="B11" s="9" t="s">
        <v>3</v>
      </c>
      <c r="C11" s="9" t="s">
        <v>11</v>
      </c>
    </row>
    <row r="12" spans="1:4">
      <c r="A12" s="5" t="s">
        <v>12</v>
      </c>
      <c r="B12" s="5" t="s">
        <v>13</v>
      </c>
      <c r="C12" s="5" t="s">
        <v>14</v>
      </c>
    </row>
    <row r="13" spans="1:4">
      <c r="A13" s="5" t="s">
        <v>15</v>
      </c>
      <c r="B13" s="5" t="s">
        <v>16</v>
      </c>
      <c r="C13" s="5" t="s">
        <v>17</v>
      </c>
    </row>
    <row r="14" spans="1:4">
      <c r="A14" s="5" t="s">
        <v>18</v>
      </c>
      <c r="B14" s="5" t="s">
        <v>19</v>
      </c>
      <c r="C14" s="5" t="s">
        <v>20</v>
      </c>
    </row>
    <row r="15" spans="1:4">
      <c r="A15" s="5" t="s">
        <v>21</v>
      </c>
      <c r="B15" s="5" t="s">
        <v>22</v>
      </c>
      <c r="C15" s="5" t="s">
        <v>23</v>
      </c>
    </row>
    <row r="16" spans="1:4">
      <c r="A16" s="5" t="s">
        <v>24</v>
      </c>
      <c r="B16" s="5" t="s">
        <v>25</v>
      </c>
      <c r="C16" s="5" t="s">
        <v>26</v>
      </c>
    </row>
    <row r="18" spans="1:1">
      <c r="A18" s="8" t="s">
        <v>27</v>
      </c>
    </row>
    <row r="19" spans="1:1">
      <c r="A19" t="s">
        <v>28</v>
      </c>
    </row>
    <row r="20" spans="1:1">
      <c r="A20" t="s">
        <v>29</v>
      </c>
    </row>
    <row r="21" spans="1:1">
      <c r="A21" t="s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2026-07-29T14:04:34Z</dcterms:created>
  <dcterms:modified xsi:type="dcterms:W3CDTF">2026-08-14T03:18:18Z</dcterms:modified>
  <cp:category/>
  <cp:contentStatus/>
</cp:coreProperties>
</file>