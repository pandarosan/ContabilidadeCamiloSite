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8_{13BDF378-4A7A-4F69-B7B9-F2C86FE98611}" xr6:coauthVersionLast="47" xr6:coauthVersionMax="47" xr10:uidLastSave="{00000000-0000-0000-0000-000000000000}"/>
  <bookViews>
    <workbookView xWindow="-28920" yWindow="-120" windowWidth="29040" windowHeight="15720" firstSheet="2" activeTab="2" xr2:uid="{00000000-000D-0000-FFFF-FFFF00000000}"/>
  </bookViews>
  <sheets>
    <sheet name="Calculadora IRPF 2026" sheetId="1" r:id="rId1"/>
    <sheet name="tabelas_referencia" sheetId="2" r:id="rId2"/>
    <sheet name="parametros_gera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9" i="1"/>
  <c r="B10" i="1" s="1"/>
  <c r="B13" i="1" s="1"/>
  <c r="B14" i="1" s="1"/>
</calcChain>
</file>

<file path=xl/sharedStrings.xml><?xml version="1.0" encoding="utf-8"?>
<sst xmlns="http://schemas.openxmlformats.org/spreadsheetml/2006/main" count="31" uniqueCount="31">
  <si>
    <t>CALCULADORA IRPF 2026 (INCLUINDO ADICIONAL 10%)</t>
  </si>
  <si>
    <t>Rendimentos Tributáveis (Salário/Pró-labore):</t>
  </si>
  <si>
    <t>Lucros e Dividendos Recebidos:</t>
  </si>
  <si>
    <t>Quantidade de dependentes (R$ 189,59 cada):</t>
  </si>
  <si>
    <t>Outras Deduções (Previdência, etc):</t>
  </si>
  <si>
    <t>DETALHAMENTO DO IMPOSTO</t>
  </si>
  <si>
    <t>Base de Cálculo IRPF (Tributáveis - Deduções):</t>
  </si>
  <si>
    <t>1. IRPF Progressivo (Sobre Tributáveis):</t>
  </si>
  <si>
    <t>2. Adicional de 10% (Excedente a R$ 50k):</t>
  </si>
  <si>
    <t>TOTAL DE IMPOSTO A PAGAR:</t>
  </si>
  <si>
    <t>RENDA LÍQUIDA MENSAL:</t>
  </si>
  <si>
    <t>Observações:</t>
  </si>
  <si>
    <t>1. Tabela IRPF 2026: Considera a isenção de R$ 5.000,00 (projeção).</t>
  </si>
  <si>
    <t>2. Adicional 10%: Aplicado sobre a renda total (tributável + dividendos) que exceder R$ 50.000,00.</t>
  </si>
  <si>
    <t>3. Regra de Dividendos: Baseada no PL 1087/25 que prevê taxação de altas rendas.</t>
  </si>
  <si>
    <t>Faixa</t>
  </si>
  <si>
    <t>Limite</t>
  </si>
  <si>
    <t>Aliquota</t>
  </si>
  <si>
    <t>Deducao</t>
  </si>
  <si>
    <t>Esta aba cuidará das faixas do imposto. </t>
  </si>
  <si>
    <t>Parametro</t>
  </si>
  <si>
    <t>Valor</t>
  </si>
  <si>
    <t>Esta aba cuidará das regras extras.</t>
  </si>
  <si>
    <t>Teto_Isencao</t>
  </si>
  <si>
    <t>Deducao_Dependente</t>
  </si>
  <si>
    <t>Adicional_Limite</t>
  </si>
  <si>
    <t>Adicional_Aliquota</t>
  </si>
  <si>
    <t>Ano_Base</t>
  </si>
  <si>
    <t>Regra_Dividendos</t>
  </si>
  <si>
    <t>PL 1087/25</t>
  </si>
  <si>
    <t>Baseada no PL 1087/25 que prevê taxação de altas rendas.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</si>
</sst>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5">
    <font>
      <sz val="11"/>
      <color theme="1"/>
      <name val="Calibri"/>
      <family val="2"/>
      <scheme val="minor"/>
    </font>
    <font>
      <b/>
      <sz val="14"/>
      <color rgb="FF375623"/>
      <name val="Calibri"/>
    </font>
    <font>
      <b/>
      <sz val="11"/>
      <name val="Calibri"/>
    </font>
    <font>
      <b/>
      <sz val="11"/>
      <color rgb="FFC00000"/>
      <name val="Calibri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20" sqref="B20"/>
    </sheetView>
  </sheetViews>
  <sheetFormatPr defaultRowHeight="14.45"/>
  <cols>
    <col min="1" max="1" width="39.42578125" customWidth="1"/>
    <col min="2" max="3" width="20" customWidth="1"/>
  </cols>
  <sheetData>
    <row r="1" spans="1:2" ht="18.600000000000001">
      <c r="A1" s="1" t="s">
        <v>0</v>
      </c>
    </row>
    <row r="3" spans="1:2">
      <c r="A3" t="s">
        <v>1</v>
      </c>
      <c r="B3" s="2">
        <v>50000.01</v>
      </c>
    </row>
    <row r="4" spans="1:2">
      <c r="A4" t="s">
        <v>2</v>
      </c>
      <c r="B4" s="2">
        <v>0</v>
      </c>
    </row>
    <row r="5" spans="1:2">
      <c r="A5" t="s">
        <v>3</v>
      </c>
      <c r="B5" s="3">
        <v>2</v>
      </c>
    </row>
    <row r="6" spans="1:2">
      <c r="A6" t="s">
        <v>4</v>
      </c>
      <c r="B6" s="3">
        <v>0</v>
      </c>
    </row>
    <row r="8" spans="1:2">
      <c r="A8" s="4" t="s">
        <v>5</v>
      </c>
    </row>
    <row r="9" spans="1:2">
      <c r="A9" s="5" t="s">
        <v>6</v>
      </c>
      <c r="B9" s="6">
        <f>MAX(0, B3 - (B5 * 189.59) - B6)</f>
        <v>49620.83</v>
      </c>
    </row>
    <row r="10" spans="1:2">
      <c r="A10" s="5" t="s">
        <v>7</v>
      </c>
      <c r="B10" s="6">
        <f>IF(B9&lt;=5000, 0, IF(B9&lt;=6000, B9*0.075-375, IF(B9&lt;=7500, B9*0.15-825, IF(B9&lt;=9000, B9*0.225-1387.5, B9*0.275-1837.5))))</f>
        <v>11808.228250000002</v>
      </c>
    </row>
    <row r="11" spans="1:2">
      <c r="A11" s="5" t="s">
        <v>8</v>
      </c>
      <c r="B11" s="7">
        <f>MAX(0, (B3 + B4 - 50000) * 0.1)</f>
        <v>1.0000000002037268E-3</v>
      </c>
    </row>
    <row r="12" spans="1:2">
      <c r="A12" s="5"/>
      <c r="B12" s="5"/>
    </row>
    <row r="13" spans="1:2">
      <c r="A13" s="5" t="s">
        <v>9</v>
      </c>
      <c r="B13" s="8">
        <f>B10 + B11</f>
        <v>11808.229250000002</v>
      </c>
    </row>
    <row r="14" spans="1:2">
      <c r="A14" s="5" t="s">
        <v>10</v>
      </c>
      <c r="B14" s="8">
        <f>(B3 + B4) - B13</f>
        <v>38191.780749999998</v>
      </c>
    </row>
    <row r="17" spans="1:1">
      <c r="A17" s="4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86D7-99F9-482A-8E8D-B4195C7E225C}">
  <dimension ref="A1:G6"/>
  <sheetViews>
    <sheetView workbookViewId="0">
      <selection activeCell="A10" sqref="A10"/>
    </sheetView>
  </sheetViews>
  <sheetFormatPr defaultRowHeight="15"/>
  <sheetData>
    <row r="1" spans="1:7">
      <c r="A1" t="s">
        <v>15</v>
      </c>
      <c r="B1" t="s">
        <v>16</v>
      </c>
      <c r="C1" t="s">
        <v>17</v>
      </c>
      <c r="D1" t="s">
        <v>18</v>
      </c>
      <c r="G1" s="9" t="s">
        <v>19</v>
      </c>
    </row>
    <row r="2" spans="1:7">
      <c r="A2">
        <v>1</v>
      </c>
      <c r="B2">
        <v>5000</v>
      </c>
      <c r="C2">
        <v>0</v>
      </c>
      <c r="D2">
        <v>0</v>
      </c>
    </row>
    <row r="3" spans="1:7">
      <c r="A3">
        <v>2</v>
      </c>
      <c r="B3">
        <v>6000</v>
      </c>
      <c r="C3">
        <v>7.5</v>
      </c>
      <c r="D3">
        <v>375</v>
      </c>
    </row>
    <row r="4" spans="1:7">
      <c r="A4">
        <v>3</v>
      </c>
      <c r="B4">
        <v>7500</v>
      </c>
      <c r="C4">
        <v>15</v>
      </c>
      <c r="D4">
        <v>825</v>
      </c>
    </row>
    <row r="5" spans="1:7">
      <c r="A5">
        <v>4</v>
      </c>
      <c r="B5">
        <v>9000</v>
      </c>
      <c r="C5">
        <v>22.5</v>
      </c>
      <c r="D5">
        <v>1387.5</v>
      </c>
    </row>
    <row r="6" spans="1:7">
      <c r="A6">
        <v>5</v>
      </c>
      <c r="C6">
        <v>27.5</v>
      </c>
      <c r="D6">
        <v>1837.5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4036-FFB5-45DC-AD7A-84466E74F51B}">
  <dimension ref="A1:D7"/>
  <sheetViews>
    <sheetView tabSelected="1" workbookViewId="0">
      <selection activeCell="A2" sqref="A2"/>
    </sheetView>
  </sheetViews>
  <sheetFormatPr defaultRowHeight="15"/>
  <cols>
    <col min="1" max="1" width="21" bestFit="1" customWidth="1"/>
    <col min="2" max="2" width="11" bestFit="1" customWidth="1"/>
  </cols>
  <sheetData>
    <row r="1" spans="1:4">
      <c r="A1" t="s">
        <v>20</v>
      </c>
      <c r="B1" t="s">
        <v>21</v>
      </c>
      <c r="D1" t="s">
        <v>22</v>
      </c>
    </row>
    <row r="2" spans="1:4">
      <c r="A2" t="s">
        <v>23</v>
      </c>
      <c r="B2">
        <v>5000</v>
      </c>
    </row>
    <row r="3" spans="1:4">
      <c r="A3" t="s">
        <v>24</v>
      </c>
      <c r="B3">
        <v>189.59</v>
      </c>
    </row>
    <row r="4" spans="1:4">
      <c r="A4" t="s">
        <v>25</v>
      </c>
      <c r="B4">
        <v>50000</v>
      </c>
    </row>
    <row r="5" spans="1:4">
      <c r="A5" t="s">
        <v>26</v>
      </c>
      <c r="B5">
        <v>10</v>
      </c>
    </row>
    <row r="6" spans="1:4">
      <c r="A6" t="s">
        <v>27</v>
      </c>
      <c r="B6">
        <v>2026</v>
      </c>
    </row>
    <row r="7" spans="1:4">
      <c r="A7" t="s">
        <v>28</v>
      </c>
      <c r="B7" t="s">
        <v>29</v>
      </c>
      <c r="D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2026-07-29T14:06:48Z</dcterms:created>
  <dcterms:modified xsi:type="dcterms:W3CDTF">2026-08-13T20:03:28Z</dcterms:modified>
  <cp:category/>
  <cp:contentStatus/>
</cp:coreProperties>
</file>