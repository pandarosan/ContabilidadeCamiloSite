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13_ncr:1_{2DB691F1-971A-4A0A-A553-82045FAB17B5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imulador IRPF 2026" sheetId="1" r:id="rId1"/>
    <sheet name="Tabela de Referencia 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17" i="1"/>
  <c r="C15" i="1"/>
  <c r="D16" i="1" s="1"/>
  <c r="D18" i="1" l="1"/>
  <c r="D23" i="1" s="1"/>
  <c r="D22" i="1" l="1"/>
  <c r="D24" i="1" s="1"/>
  <c r="D25" i="1"/>
  <c r="D26" i="1" s="1"/>
  <c r="D28" i="1" s="1"/>
</calcChain>
</file>

<file path=xl/sharedStrings.xml><?xml version="1.0" encoding="utf-8"?>
<sst xmlns="http://schemas.openxmlformats.org/spreadsheetml/2006/main" count="55" uniqueCount="52">
  <si>
    <t>Simulador do Imposto de Renda Pessoa Física (IRPF 2026)</t>
  </si>
  <si>
    <t>Calculadora mensal interativa com comparação da Opção Mais Favorável (Dedução Simplificada de R$ 607,20 vs. Deduções Legais)</t>
  </si>
  <si>
    <t>1. DADOS DE ENTRADA (MENSAL)</t>
  </si>
  <si>
    <t>Item / Parâmetro</t>
  </si>
  <si>
    <t>Valor Informado</t>
  </si>
  <si>
    <t>Unidade / Nota</t>
  </si>
  <si>
    <t>Rendimento Salarial / Pró-Labore Bruto</t>
  </si>
  <si>
    <t>R$</t>
  </si>
  <si>
    <t>Desconto INSS Oficial / Previdência Oficial</t>
  </si>
  <si>
    <t>Número de Dependentes (R$ 189,59 cada)</t>
  </si>
  <si>
    <t>unidades</t>
  </si>
  <si>
    <t>Outras Deduções Legais Mensais (Pensão Alimentícia, etc.)</t>
  </si>
  <si>
    <t>Distribuição de Lucros e Dividendos Recebidos no Mês</t>
  </si>
  <si>
    <t>2. APURAÇÃO DA BASE DE CÁLCULO MAIS FAVORÁVEL</t>
  </si>
  <si>
    <t>Opção de Dedução</t>
  </si>
  <si>
    <t>Regra de Abatimento</t>
  </si>
  <si>
    <t>Base de Cálculo Resultante (R$)</t>
  </si>
  <si>
    <t>Dedução Total pelas Regras Legais</t>
  </si>
  <si>
    <t>INSS + Dependentes + Pensão</t>
  </si>
  <si>
    <t>Base de Cálculo (Deduções Legais)</t>
  </si>
  <si>
    <t>Rendimento Bruto − Deduções Legais Totais</t>
  </si>
  <si>
    <t>Base de Cálculo (Desconto Simplificado Mensal - R$ 607,20)</t>
  </si>
  <si>
    <t>Rendimento Bruto − Desconto Simplificado (R$ 607,20)</t>
  </si>
  <si>
    <t>BASE DE CÁLCULO MAIS FAVORÁVEL (MENOR VALOR)</t>
  </si>
  <si>
    <t>IF(D16&lt;=D17, "Deduções Legais", "Desconto Simplificado")</t>
  </si>
  <si>
    <t>3. CÁLCULO DO IMPOSTO DE RENDA FINAL</t>
  </si>
  <si>
    <t>Etapa de Cálculo</t>
  </si>
  <si>
    <t>Fórmula / Regra Aplicada</t>
  </si>
  <si>
    <t>Valor Resultante (R$)</t>
  </si>
  <si>
    <t>Alíquota da Tabela Progressiva</t>
  </si>
  <si>
    <t>Conforme faixa da base de cálculo</t>
  </si>
  <si>
    <t>Dedução da Tabela Progressiva</t>
  </si>
  <si>
    <t>Parcela a deduzir da tabela</t>
  </si>
  <si>
    <t>Imposto Bruto Devido (Tabela Padrão)</t>
  </si>
  <si>
    <t>Base de Cálculo x Alíquota − Parcela a Deduzir</t>
  </si>
  <si>
    <t>Redutor da Nova Lei (Isenção R$ 5k / Transição)</t>
  </si>
  <si>
    <t>Redução para renda até R$ 7.350,00</t>
  </si>
  <si>
    <t>Imposto Final sobre Salário/Pró-Labore</t>
  </si>
  <si>
    <t>Imposto Efetivo de Renda no Mês</t>
  </si>
  <si>
    <t>Imposto de Renda sobre Lucros/Dividendos (10%)</t>
  </si>
  <si>
    <t>10% sobre o excedente de R$ 50.000/mês</t>
  </si>
  <si>
    <t>IMPOSTO DE RENDA TOTAL A PAGAR NO MÊS</t>
  </si>
  <si>
    <t>Soma: IR Salário + IR Lucros/Dividendos</t>
  </si>
  <si>
    <t>Tabela Progressiva Mensal do IRPF (2026)</t>
  </si>
  <si>
    <t>Faixa de Rendimento Tributável (R$)</t>
  </si>
  <si>
    <t>Alíquota</t>
  </si>
  <si>
    <t>Parcela a Deduzir do Imposto (R$)</t>
  </si>
  <si>
    <t>Até R$ 2.428,80</t>
  </si>
  <si>
    <t>De R$ 2.428,81 até R$ 2.826,65</t>
  </si>
  <si>
    <t>De R$ 2.826,66 até R$ 3.751,05</t>
  </si>
  <si>
    <t>De R$ 3.751,06 até R$ 4.664,68</t>
  </si>
  <si>
    <t>Acima de R$ 4.664,68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</si>
</sst>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95959"/>
      <name val="Calibri"/>
    </font>
    <font>
      <b/>
      <sz val="12"/>
      <color rgb="FF1B365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A"/>
        <bgColor rgb="FFF8F9FA"/>
      </patternFill>
    </fill>
    <fill>
      <patternFill patternType="solid">
        <fgColor rgb="FFE8EEF5"/>
        <bgColor rgb="FFE8EEF5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164" fontId="6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5" fillId="0" borderId="0" xfId="0" applyFont="1"/>
    <xf numFmtId="164" fontId="5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6" fillId="5" borderId="1" xfId="0" applyFont="1" applyFill="1" applyBorder="1"/>
    <xf numFmtId="0" fontId="5" fillId="5" borderId="1" xfId="0" applyFont="1" applyFill="1" applyBorder="1"/>
    <xf numFmtId="164" fontId="6" fillId="5" borderId="1" xfId="0" applyNumberFormat="1" applyFont="1" applyFill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6" fillId="6" borderId="1" xfId="0" applyFont="1" applyFill="1" applyBorder="1"/>
    <xf numFmtId="0" fontId="5" fillId="6" borderId="1" xfId="0" applyFont="1" applyFill="1" applyBorder="1"/>
    <xf numFmtId="164" fontId="6" fillId="6" borderId="1" xfId="0" applyNumberFormat="1" applyFont="1" applyFill="1" applyBorder="1" applyAlignment="1">
      <alignment horizontal="right"/>
    </xf>
    <xf numFmtId="165" fontId="5" fillId="0" borderId="1" xfId="0" applyNumberFormat="1" applyFont="1" applyBorder="1" applyAlignment="1">
      <alignment horizontal="center"/>
    </xf>
    <xf numFmtId="3" fontId="6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8"/>
  <sheetViews>
    <sheetView tabSelected="1" workbookViewId="0">
      <selection activeCell="C8" sqref="C8"/>
    </sheetView>
  </sheetViews>
  <sheetFormatPr defaultRowHeight="14.5" x14ac:dyDescent="0.35"/>
  <cols>
    <col min="1" max="1" width="3" customWidth="1"/>
    <col min="2" max="2" width="52" customWidth="1"/>
    <col min="3" max="3" width="48" customWidth="1"/>
    <col min="4" max="4" width="32" customWidth="1"/>
  </cols>
  <sheetData>
    <row r="2" spans="2:4" ht="21" x14ac:dyDescent="0.5">
      <c r="B2" s="1" t="s">
        <v>0</v>
      </c>
    </row>
    <row r="3" spans="2:4" x14ac:dyDescent="0.35">
      <c r="B3" s="2" t="s">
        <v>1</v>
      </c>
    </row>
    <row r="5" spans="2:4" ht="15.5" x14ac:dyDescent="0.35">
      <c r="B5" s="3" t="s">
        <v>2</v>
      </c>
    </row>
    <row r="6" spans="2:4" x14ac:dyDescent="0.35">
      <c r="B6" s="4" t="s">
        <v>3</v>
      </c>
      <c r="C6" s="4" t="s">
        <v>4</v>
      </c>
      <c r="D6" s="4" t="s">
        <v>5</v>
      </c>
    </row>
    <row r="7" spans="2:4" x14ac:dyDescent="0.35">
      <c r="B7" s="5" t="s">
        <v>6</v>
      </c>
      <c r="C7" s="6">
        <v>5500</v>
      </c>
      <c r="D7" s="7" t="s">
        <v>7</v>
      </c>
    </row>
    <row r="8" spans="2:4" x14ac:dyDescent="0.35">
      <c r="B8" s="5" t="s">
        <v>8</v>
      </c>
      <c r="C8" s="6">
        <v>0</v>
      </c>
      <c r="D8" s="7" t="s">
        <v>7</v>
      </c>
    </row>
    <row r="9" spans="2:4" x14ac:dyDescent="0.35">
      <c r="B9" s="5" t="s">
        <v>9</v>
      </c>
      <c r="C9" s="21">
        <v>0</v>
      </c>
      <c r="D9" s="7" t="s">
        <v>10</v>
      </c>
    </row>
    <row r="10" spans="2:4" x14ac:dyDescent="0.35">
      <c r="B10" s="5" t="s">
        <v>11</v>
      </c>
      <c r="C10" s="6">
        <v>0</v>
      </c>
      <c r="D10" s="7" t="s">
        <v>7</v>
      </c>
    </row>
    <row r="11" spans="2:4" x14ac:dyDescent="0.35">
      <c r="B11" s="5" t="s">
        <v>12</v>
      </c>
      <c r="C11" s="6">
        <v>0</v>
      </c>
      <c r="D11" s="7" t="s">
        <v>7</v>
      </c>
    </row>
    <row r="13" spans="2:4" ht="15.5" x14ac:dyDescent="0.35">
      <c r="B13" s="3" t="s">
        <v>13</v>
      </c>
    </row>
    <row r="14" spans="2:4" x14ac:dyDescent="0.35">
      <c r="B14" s="4" t="s">
        <v>14</v>
      </c>
      <c r="C14" s="4" t="s">
        <v>15</v>
      </c>
      <c r="D14" s="4" t="s">
        <v>16</v>
      </c>
    </row>
    <row r="15" spans="2:4" x14ac:dyDescent="0.35">
      <c r="B15" s="8" t="s">
        <v>17</v>
      </c>
      <c r="C15" s="9">
        <f>C8 + (C9 * 189.59) + C10</f>
        <v>0</v>
      </c>
      <c r="D15" s="8" t="s">
        <v>18</v>
      </c>
    </row>
    <row r="16" spans="2:4" x14ac:dyDescent="0.35">
      <c r="B16" s="7" t="s">
        <v>19</v>
      </c>
      <c r="C16" s="7" t="s">
        <v>20</v>
      </c>
      <c r="D16" s="10">
        <f>MAX(0, C7 - C15)</f>
        <v>5500</v>
      </c>
    </row>
    <row r="17" spans="2:4" x14ac:dyDescent="0.35">
      <c r="B17" s="7" t="s">
        <v>21</v>
      </c>
      <c r="C17" s="7" t="s">
        <v>22</v>
      </c>
      <c r="D17" s="10">
        <f>MAX(0, C7 - 607.2)</f>
        <v>4892.8</v>
      </c>
    </row>
    <row r="18" spans="2:4" x14ac:dyDescent="0.35">
      <c r="B18" s="11" t="s">
        <v>23</v>
      </c>
      <c r="C18" s="12" t="s">
        <v>24</v>
      </c>
      <c r="D18" s="13">
        <f>MIN(D16, D17)</f>
        <v>4892.8</v>
      </c>
    </row>
    <row r="20" spans="2:4" ht="15.5" x14ac:dyDescent="0.35">
      <c r="B20" s="3" t="s">
        <v>25</v>
      </c>
    </row>
    <row r="21" spans="2:4" x14ac:dyDescent="0.35">
      <c r="B21" s="4" t="s">
        <v>26</v>
      </c>
      <c r="C21" s="4" t="s">
        <v>27</v>
      </c>
      <c r="D21" s="4" t="s">
        <v>28</v>
      </c>
    </row>
    <row r="22" spans="2:4" x14ac:dyDescent="0.35">
      <c r="B22" s="7" t="s">
        <v>29</v>
      </c>
      <c r="C22" s="7" t="s">
        <v>30</v>
      </c>
      <c r="D22" s="14">
        <f>IF(D18&lt;=2428.8, 0, IF(D18&lt;=2826.65, 0.075, IF(D18&lt;=3751.05, 0.15, IF(D18&lt;=4664.68, 0.225, 0.275))))</f>
        <v>0.27500000000000002</v>
      </c>
    </row>
    <row r="23" spans="2:4" x14ac:dyDescent="0.35">
      <c r="B23" s="7" t="s">
        <v>31</v>
      </c>
      <c r="C23" s="7" t="s">
        <v>32</v>
      </c>
      <c r="D23" s="10">
        <f>IF(D18&lt;=2428.8, 0, IF(D18&lt;=2826.65, 182.16, IF(D18&lt;=3751.05, 394.16, IF(D18&lt;=4664.68, 675.49, 908.73))))</f>
        <v>908.73</v>
      </c>
    </row>
    <row r="24" spans="2:4" x14ac:dyDescent="0.35">
      <c r="B24" s="7" t="s">
        <v>33</v>
      </c>
      <c r="C24" s="7" t="s">
        <v>34</v>
      </c>
      <c r="D24" s="10">
        <f>MAX(0, D18*D22 - D23)</f>
        <v>436.79000000000019</v>
      </c>
    </row>
    <row r="25" spans="2:4" x14ac:dyDescent="0.35">
      <c r="B25" s="7" t="s">
        <v>35</v>
      </c>
      <c r="C25" s="7" t="s">
        <v>36</v>
      </c>
      <c r="D25" s="10">
        <f>IF(C7&lt;=5000, D24, IF(C7&lt;=7350, MAX(0, 978.62 - (0.133145 * C7)), 0))</f>
        <v>246.32249999999988</v>
      </c>
    </row>
    <row r="26" spans="2:4" x14ac:dyDescent="0.35">
      <c r="B26" s="15" t="s">
        <v>37</v>
      </c>
      <c r="C26" s="7" t="s">
        <v>38</v>
      </c>
      <c r="D26" s="16">
        <f>MAX(0, D24 - D25)</f>
        <v>190.46750000000031</v>
      </c>
    </row>
    <row r="27" spans="2:4" x14ac:dyDescent="0.35">
      <c r="B27" s="7" t="s">
        <v>39</v>
      </c>
      <c r="C27" s="7" t="s">
        <v>40</v>
      </c>
      <c r="D27" s="10">
        <f>IF(C11&gt;50000, (C11 - 50000)*0.1, 0)</f>
        <v>0</v>
      </c>
    </row>
    <row r="28" spans="2:4" x14ac:dyDescent="0.35">
      <c r="B28" s="17" t="s">
        <v>41</v>
      </c>
      <c r="C28" s="18" t="s">
        <v>42</v>
      </c>
      <c r="D28" s="19">
        <f>D26 + D27</f>
        <v>190.46750000000031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9"/>
  <sheetViews>
    <sheetView workbookViewId="0"/>
  </sheetViews>
  <sheetFormatPr defaultRowHeight="14.5" x14ac:dyDescent="0.35"/>
  <cols>
    <col min="1" max="1" width="3" customWidth="1"/>
    <col min="2" max="2" width="52" customWidth="1"/>
    <col min="3" max="3" width="48" customWidth="1"/>
    <col min="4" max="4" width="32" customWidth="1"/>
  </cols>
  <sheetData>
    <row r="2" spans="2:4" ht="21" x14ac:dyDescent="0.5">
      <c r="B2" s="1" t="s">
        <v>43</v>
      </c>
    </row>
    <row r="4" spans="2:4" x14ac:dyDescent="0.35">
      <c r="B4" s="4" t="s">
        <v>44</v>
      </c>
      <c r="C4" s="4" t="s">
        <v>45</v>
      </c>
      <c r="D4" s="4" t="s">
        <v>46</v>
      </c>
    </row>
    <row r="5" spans="2:4" x14ac:dyDescent="0.35">
      <c r="B5" s="7" t="s">
        <v>47</v>
      </c>
      <c r="C5" s="20">
        <v>0</v>
      </c>
      <c r="D5" s="10">
        <v>0</v>
      </c>
    </row>
    <row r="6" spans="2:4" x14ac:dyDescent="0.35">
      <c r="B6" s="7" t="s">
        <v>48</v>
      </c>
      <c r="C6" s="20">
        <v>7.4999999999999997E-2</v>
      </c>
      <c r="D6" s="10">
        <v>182.16</v>
      </c>
    </row>
    <row r="7" spans="2:4" x14ac:dyDescent="0.35">
      <c r="B7" s="7" t="s">
        <v>49</v>
      </c>
      <c r="C7" s="20">
        <v>0.15</v>
      </c>
      <c r="D7" s="10">
        <v>394.16</v>
      </c>
    </row>
    <row r="8" spans="2:4" x14ac:dyDescent="0.35">
      <c r="B8" s="7" t="s">
        <v>50</v>
      </c>
      <c r="C8" s="20">
        <v>0.22500000000000001</v>
      </c>
      <c r="D8" s="10">
        <v>675.49</v>
      </c>
    </row>
    <row r="9" spans="2:4" x14ac:dyDescent="0.35">
      <c r="B9" s="7" t="s">
        <v>51</v>
      </c>
      <c r="C9" s="20">
        <v>0.27500000000000002</v>
      </c>
      <c r="D9" s="10">
        <v>908.73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 IRPF 2026</vt:lpstr>
      <vt:lpstr>Tabela de Referencia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Thais Camilo</cp:lastModifiedBy>
  <dcterms:created xsi:type="dcterms:W3CDTF">2026-08-17T23:08:56Z</dcterms:created>
  <dcterms:modified xsi:type="dcterms:W3CDTF">2026-08-17T23:13:03Z</dcterms:modified>
</cp:coreProperties>
</file>